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670a113abb1c4c/Qsync/_Morris/Personali/Viaggi/China 2026/"/>
    </mc:Choice>
  </mc:AlternateContent>
  <xr:revisionPtr revIDLastSave="7" documentId="13_ncr:1_{9A0D2860-D4A9-41F9-9D73-B0DA87409308}" xr6:coauthVersionLast="47" xr6:coauthVersionMax="47" xr10:uidLastSave="{FA29F64B-5691-4409-AB21-C3A0A8F236D6}"/>
  <bookViews>
    <workbookView xWindow="-108" yWindow="-108" windowWidth="23256" windowHeight="13896" xr2:uid="{E31ABBA7-060D-49D7-BD7B-892B9B0B2711}"/>
  </bookViews>
  <sheets>
    <sheet name="Tour China" sheetId="1" r:id="rId1"/>
    <sheet name="Voli" sheetId="4" r:id="rId2"/>
    <sheet name="Foglio1" sheetId="5" r:id="rId3"/>
  </sheets>
  <definedNames>
    <definedName name="_xlnm.Print_Area" localSheetId="0">'Tour China'!$A$1:$L$36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J15" i="1" s="1"/>
  <c r="D16" i="4"/>
  <c r="C16" i="4" s="1"/>
  <c r="K25" i="1"/>
  <c r="K6" i="1"/>
  <c r="F5" i="4"/>
  <c r="F14" i="4"/>
  <c r="F10" i="4" s="1"/>
  <c r="E10" i="4"/>
  <c r="J25" i="1"/>
  <c r="J20" i="1"/>
  <c r="K20" i="1" s="1"/>
  <c r="H35" i="1"/>
  <c r="H34" i="1"/>
  <c r="H33" i="1"/>
  <c r="H32" i="1"/>
  <c r="H31" i="1"/>
  <c r="H30" i="1"/>
  <c r="H29" i="1"/>
  <c r="H28" i="1"/>
  <c r="J12" i="1"/>
  <c r="K12" i="1" s="1"/>
  <c r="J8" i="1"/>
  <c r="K8" i="1" s="1"/>
  <c r="D7" i="4"/>
  <c r="M5" i="4"/>
  <c r="M1" i="4"/>
  <c r="L25" i="1" s="1"/>
  <c r="L1" i="4"/>
  <c r="F1" i="4"/>
  <c r="L6" i="1" s="1"/>
  <c r="L3" i="1" s="1"/>
  <c r="E1" i="4"/>
  <c r="K26" i="1"/>
  <c r="K24" i="1"/>
  <c r="K23" i="1"/>
  <c r="K22" i="1"/>
  <c r="K21" i="1"/>
  <c r="K18" i="1"/>
  <c r="K17" i="1"/>
  <c r="K16" i="1"/>
  <c r="K13" i="1"/>
  <c r="K9" i="1"/>
  <c r="K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K3" i="1" l="1"/>
  <c r="J6" i="1"/>
  <c r="J3" i="1" s="1"/>
  <c r="H36" i="1"/>
</calcChain>
</file>

<file path=xl/sharedStrings.xml><?xml version="1.0" encoding="utf-8"?>
<sst xmlns="http://schemas.openxmlformats.org/spreadsheetml/2006/main" count="212" uniqueCount="80">
  <si>
    <t>Chongqing</t>
  </si>
  <si>
    <t>Zhangijajie</t>
  </si>
  <si>
    <t>Shangai</t>
  </si>
  <si>
    <t>Pechino</t>
  </si>
  <si>
    <t>Mattino</t>
  </si>
  <si>
    <t>Pranzo</t>
  </si>
  <si>
    <t>Sera</t>
  </si>
  <si>
    <t xml:space="preserve">Cena </t>
  </si>
  <si>
    <t>Pomeriggio</t>
  </si>
  <si>
    <t>Notte</t>
  </si>
  <si>
    <t>Home</t>
  </si>
  <si>
    <t>Volo</t>
  </si>
  <si>
    <t>Euro</t>
  </si>
  <si>
    <t>Treno</t>
  </si>
  <si>
    <t>Muraglia</t>
  </si>
  <si>
    <t>Attività</t>
  </si>
  <si>
    <t>Data</t>
  </si>
  <si>
    <t>Giorno</t>
  </si>
  <si>
    <t>Durata</t>
  </si>
  <si>
    <t>Euro/cad</t>
  </si>
  <si>
    <t>PVG-MXP</t>
  </si>
  <si>
    <t>Pernottamento</t>
  </si>
  <si>
    <t>TOTALE</t>
  </si>
  <si>
    <t>MXP</t>
  </si>
  <si>
    <t>Fuso</t>
  </si>
  <si>
    <t>Data e Ora</t>
  </si>
  <si>
    <t>Città</t>
  </si>
  <si>
    <t>Aereoporto</t>
  </si>
  <si>
    <t>PVG</t>
  </si>
  <si>
    <t>CA967</t>
  </si>
  <si>
    <t>Milano , Aeroporto di MalpensaTerminal 1</t>
  </si>
  <si>
    <t>Sigla</t>
  </si>
  <si>
    <t>Economic</t>
  </si>
  <si>
    <t>CA446</t>
  </si>
  <si>
    <t>TFU</t>
  </si>
  <si>
    <t>MXP-TFU</t>
  </si>
  <si>
    <t>Chengdu</t>
  </si>
  <si>
    <t>Hotel</t>
  </si>
  <si>
    <t>Posti</t>
  </si>
  <si>
    <t>Tianfu Square</t>
  </si>
  <si>
    <t>Lan Kwai Fong</t>
  </si>
  <si>
    <t>Taxi</t>
  </si>
  <si>
    <t>Verdi - Alipay - DiDi</t>
  </si>
  <si>
    <t>Siguan Rd, Wu Hou Qu, Cheng Du Shi, Si Chuan Sheng, Cina, 610047</t>
  </si>
  <si>
    <t>Chunxi Road Residential District, Luomashi, Jinjiang District, Chengdu, Sichuan, Cina, 610016</t>
  </si>
  <si>
    <t>Luomashi, Qingyang District, Chengdu, Cina, 610020</t>
  </si>
  <si>
    <t>Kuan Alley and Zhai Alley</t>
  </si>
  <si>
    <t>Cina, Sichuan, Chengdu, Qingyang District, 长顺上街127号 邮政编码: 610032</t>
  </si>
  <si>
    <t>Indirizzi</t>
  </si>
  <si>
    <t xml:space="preserve">Chunxi Road </t>
  </si>
  <si>
    <t>Anshun Bridge</t>
  </si>
  <si>
    <t>J3RP+RCF, Binjiang E Rd, Jinjiang District, Chengdu, Sichuan, Cina, 610061</t>
  </si>
  <si>
    <t>The Hidden House(Chengdu Taikoo Li &amp; Hejiangting))</t>
  </si>
  <si>
    <t>Panda</t>
  </si>
  <si>
    <t>Wulingyuan</t>
  </si>
  <si>
    <t>Taxi/Bus</t>
  </si>
  <si>
    <t xml:space="preserve">visita città Chongqing </t>
  </si>
  <si>
    <t>trasferimento a Zhangijajie + BUS Wulingyuan + visita città</t>
  </si>
  <si>
    <t>Visita foresta Avatar e rientro Wulingyuan + BUS Zhangijajie</t>
  </si>
  <si>
    <t>Visita porta del paradiso e rientro città Zhangijajie</t>
  </si>
  <si>
    <t>MXP-TFU - visita città Chengdu + Panda + Sera Chengdu</t>
  </si>
  <si>
    <t>visita città Chengdu + treno Chongqing + Drone Show</t>
  </si>
  <si>
    <t>Transfer</t>
  </si>
  <si>
    <t>Porta paradiso</t>
  </si>
  <si>
    <t>visita citta Zhangijajie e Volo per Pechino Pernotto Pechino</t>
  </si>
  <si>
    <t>DYG</t>
  </si>
  <si>
    <t>Aeroporto di Dayong Zhangjiajie Hehua T2</t>
  </si>
  <si>
    <t>Aeroporto di Pechino-Daxing</t>
  </si>
  <si>
    <t>PKX</t>
  </si>
  <si>
    <t>CA8610</t>
  </si>
  <si>
    <t>Shanghai , Aeroporto Internazionale di Pudong Terminal: 2</t>
  </si>
  <si>
    <t>Chengdu, Aeroporto internazionale di Tianfu Terminal 1</t>
  </si>
  <si>
    <t>visita città Pechino</t>
  </si>
  <si>
    <t>visita città proibita Pechino</t>
  </si>
  <si>
    <t>visita Pechino + treno Shanghai + Sera Shanghai</t>
  </si>
  <si>
    <t>visita città Shanghai</t>
  </si>
  <si>
    <t>gita paesi intorno a Shanghai</t>
  </si>
  <si>
    <t>visita città Shanghai e volo per rientro PVG-MXP</t>
  </si>
  <si>
    <t>Avatar</t>
  </si>
  <si>
    <t>visita Muraglia Pechino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</si>
</sst>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-F400]h:mm:ss\ AM/PM"/>
    <numFmt numFmtId="165" formatCode="[$-F800]dddd\,\ mmmm\ dd\,\ yyyy"/>
  </numFmts>
  <fonts count="5" x14ac:knownFonts="1">
    <font>
      <sz val="9"/>
      <color theme="1"/>
      <name val="Cambria"/>
      <family val="2"/>
    </font>
    <font>
      <sz val="9"/>
      <color theme="1"/>
      <name val="Cambria"/>
      <family val="2"/>
    </font>
    <font>
      <sz val="9"/>
      <color theme="0" tint="-4.9989318521683403E-2"/>
      <name val="Cambria"/>
      <family val="2"/>
    </font>
    <font>
      <b/>
      <sz val="9"/>
      <color theme="1"/>
      <name val="Cambria"/>
      <family val="1"/>
    </font>
    <font>
      <sz val="9"/>
      <color theme="0"/>
      <name val="Cambri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0" fillId="0" borderId="1" xfId="0" applyBorder="1"/>
    <xf numFmtId="43" fontId="0" fillId="0" borderId="1" xfId="1" applyFont="1" applyBorder="1"/>
    <xf numFmtId="20" fontId="0" fillId="0" borderId="1" xfId="0" applyNumberFormat="1" applyBorder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3" fontId="0" fillId="0" borderId="0" xfId="1" applyFont="1" applyAlignment="1">
      <alignment horizontal="center" vertical="center"/>
    </xf>
    <xf numFmtId="0" fontId="0" fillId="4" borderId="1" xfId="0" applyFill="1" applyBorder="1"/>
    <xf numFmtId="43" fontId="0" fillId="4" borderId="1" xfId="1" applyFont="1" applyFill="1" applyBorder="1"/>
    <xf numFmtId="20" fontId="0" fillId="4" borderId="1" xfId="0" applyNumberFormat="1" applyFill="1" applyBorder="1"/>
    <xf numFmtId="165" fontId="0" fillId="0" borderId="1" xfId="0" applyNumberFormat="1" applyBorder="1"/>
    <xf numFmtId="43" fontId="0" fillId="0" borderId="1" xfId="1" applyFont="1" applyFill="1" applyBorder="1"/>
    <xf numFmtId="0" fontId="0" fillId="5" borderId="1" xfId="0" applyFill="1" applyBorder="1"/>
    <xf numFmtId="43" fontId="0" fillId="5" borderId="1" xfId="1" applyFont="1" applyFill="1" applyBorder="1"/>
    <xf numFmtId="20" fontId="0" fillId="5" borderId="1" xfId="0" applyNumberFormat="1" applyFill="1" applyBorder="1"/>
    <xf numFmtId="0" fontId="0" fillId="0" borderId="0" xfId="0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1" defaultTableStyle="TableStyleMedium2" defaultPivotStyle="PivotStyleLight16">
    <tableStyle name="Invisible" pivot="0" table="0" count="0" xr9:uid="{EF81457D-24D6-4510-B672-B5A88D9D9641}"/>
  </tableStyles>
  <colors>
    <mruColors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AC2D-68D0-48D4-B8F3-37AE71FE6B8E}">
  <sheetPr>
    <pageSetUpPr fitToPage="1"/>
  </sheetPr>
  <dimension ref="A3:L36"/>
  <sheetViews>
    <sheetView showGridLines="0" tabSelected="1" workbookViewId="0">
      <selection activeCell="C18" sqref="C18"/>
    </sheetView>
  </sheetViews>
  <sheetFormatPr defaultRowHeight="11.4" x14ac:dyDescent="0.2"/>
  <cols>
    <col min="2" max="2" width="24.125" customWidth="1"/>
    <col min="3" max="3" width="47.625" bestFit="1" customWidth="1"/>
    <col min="4" max="4" width="10.375" bestFit="1" customWidth="1"/>
    <col min="5" max="5" width="9.375" bestFit="1" customWidth="1"/>
    <col min="6" max="6" width="9.875" bestFit="1" customWidth="1"/>
    <col min="7" max="7" width="9.375" bestFit="1" customWidth="1"/>
    <col min="8" max="8" width="10.375" bestFit="1" customWidth="1"/>
    <col min="9" max="9" width="12.75" bestFit="1" customWidth="1"/>
    <col min="10" max="11" width="9.125" style="1"/>
  </cols>
  <sheetData>
    <row r="3" spans="1:12" x14ac:dyDescent="0.2">
      <c r="J3" s="1">
        <f>SUBTOTAL(9,J6:J25)</f>
        <v>5364.4400000000005</v>
      </c>
      <c r="K3" s="1">
        <f t="shared" ref="K3" si="0">SUBTOTAL(9,K6:K25)</f>
        <v>1341.1100000000001</v>
      </c>
      <c r="L3" s="6">
        <f>SUBTOTAL(9,L6:L25)</f>
        <v>1.6111111111111112</v>
      </c>
    </row>
    <row r="5" spans="1:12" x14ac:dyDescent="0.2">
      <c r="A5" s="2" t="s">
        <v>17</v>
      </c>
      <c r="B5" s="2" t="s">
        <v>16</v>
      </c>
      <c r="C5" s="2" t="s">
        <v>15</v>
      </c>
      <c r="D5" s="2" t="s">
        <v>4</v>
      </c>
      <c r="E5" s="2" t="s">
        <v>5</v>
      </c>
      <c r="F5" s="2" t="s">
        <v>8</v>
      </c>
      <c r="G5" s="2" t="s">
        <v>7</v>
      </c>
      <c r="H5" s="2" t="s">
        <v>6</v>
      </c>
      <c r="I5" s="2" t="s">
        <v>9</v>
      </c>
      <c r="J5" s="3" t="s">
        <v>12</v>
      </c>
      <c r="K5" s="3" t="s">
        <v>19</v>
      </c>
      <c r="L5" s="3" t="s">
        <v>18</v>
      </c>
    </row>
    <row r="6" spans="1:12" x14ac:dyDescent="0.2">
      <c r="A6" s="4">
        <v>1</v>
      </c>
      <c r="B6" s="20">
        <v>46233</v>
      </c>
      <c r="C6" s="4" t="s">
        <v>35</v>
      </c>
      <c r="D6" s="4"/>
      <c r="E6" s="22" t="s">
        <v>11</v>
      </c>
      <c r="F6" s="22" t="s">
        <v>11</v>
      </c>
      <c r="G6" s="22" t="s">
        <v>11</v>
      </c>
      <c r="H6" s="22" t="s">
        <v>11</v>
      </c>
      <c r="I6" s="22" t="s">
        <v>11</v>
      </c>
      <c r="J6" s="23">
        <f>+K6*4</f>
        <v>1903.68</v>
      </c>
      <c r="K6" s="23">
        <f>+Voli!D7/2</f>
        <v>475.92</v>
      </c>
      <c r="L6" s="24">
        <f>+Voli!F1</f>
        <v>0.44444444444525288</v>
      </c>
    </row>
    <row r="7" spans="1:12" x14ac:dyDescent="0.2">
      <c r="A7" s="4">
        <f>+A6+1</f>
        <v>2</v>
      </c>
      <c r="B7" s="20">
        <f>+B6+1</f>
        <v>46234</v>
      </c>
      <c r="C7" s="4" t="s">
        <v>60</v>
      </c>
      <c r="D7" s="17" t="s">
        <v>62</v>
      </c>
      <c r="E7" s="4" t="s">
        <v>36</v>
      </c>
      <c r="F7" s="4" t="s">
        <v>53</v>
      </c>
      <c r="G7" s="4" t="s">
        <v>36</v>
      </c>
      <c r="H7" s="4" t="s">
        <v>36</v>
      </c>
      <c r="I7" s="4" t="s">
        <v>36</v>
      </c>
      <c r="J7" s="18">
        <v>50</v>
      </c>
      <c r="K7" s="18">
        <f t="shared" ref="K7:K26" si="1">+J7/4</f>
        <v>12.5</v>
      </c>
      <c r="L7" s="19">
        <v>6.25E-2</v>
      </c>
    </row>
    <row r="8" spans="1:12" x14ac:dyDescent="0.2">
      <c r="A8" s="4">
        <f t="shared" ref="A8:A25" si="2">+A7+1</f>
        <v>3</v>
      </c>
      <c r="B8" s="20">
        <f t="shared" ref="B8:B25" si="3">+B7+1</f>
        <v>46235</v>
      </c>
      <c r="C8" s="4" t="s">
        <v>61</v>
      </c>
      <c r="D8" s="4" t="s">
        <v>36</v>
      </c>
      <c r="E8" s="4" t="s">
        <v>36</v>
      </c>
      <c r="F8" s="17" t="s">
        <v>13</v>
      </c>
      <c r="G8" s="4" t="s">
        <v>0</v>
      </c>
      <c r="H8" s="4" t="s">
        <v>0</v>
      </c>
      <c r="I8" s="4" t="s">
        <v>0</v>
      </c>
      <c r="J8" s="18">
        <f>30*4</f>
        <v>120</v>
      </c>
      <c r="K8" s="18">
        <f t="shared" si="1"/>
        <v>30</v>
      </c>
      <c r="L8" s="19">
        <v>0.10416666666666667</v>
      </c>
    </row>
    <row r="9" spans="1:12" x14ac:dyDescent="0.2">
      <c r="A9" s="4">
        <f t="shared" si="2"/>
        <v>4</v>
      </c>
      <c r="B9" s="20">
        <f t="shared" si="3"/>
        <v>46236</v>
      </c>
      <c r="C9" s="4" t="s">
        <v>56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0</v>
      </c>
      <c r="I9" s="4" t="s">
        <v>0</v>
      </c>
      <c r="J9" s="5"/>
      <c r="K9" s="5">
        <f t="shared" si="1"/>
        <v>0</v>
      </c>
      <c r="L9" s="4"/>
    </row>
    <row r="10" spans="1:12" x14ac:dyDescent="0.2">
      <c r="A10" s="4">
        <f t="shared" si="2"/>
        <v>5</v>
      </c>
      <c r="B10" s="20">
        <f t="shared" si="3"/>
        <v>46237</v>
      </c>
      <c r="C10" s="4" t="s">
        <v>56</v>
      </c>
      <c r="D10" s="4" t="s">
        <v>0</v>
      </c>
      <c r="E10" s="4" t="s">
        <v>0</v>
      </c>
      <c r="F10" s="4" t="s">
        <v>0</v>
      </c>
      <c r="G10" s="4" t="s">
        <v>0</v>
      </c>
      <c r="H10" s="4" t="s">
        <v>0</v>
      </c>
      <c r="I10" s="4" t="s">
        <v>0</v>
      </c>
      <c r="J10" s="5"/>
      <c r="K10" s="5"/>
      <c r="L10" s="6"/>
    </row>
    <row r="11" spans="1:12" x14ac:dyDescent="0.2">
      <c r="A11" s="4">
        <f t="shared" si="2"/>
        <v>6</v>
      </c>
      <c r="B11" s="20">
        <f t="shared" si="3"/>
        <v>46238</v>
      </c>
      <c r="C11" s="4" t="s">
        <v>56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5"/>
      <c r="K11" s="5"/>
      <c r="L11" s="6"/>
    </row>
    <row r="12" spans="1:12" x14ac:dyDescent="0.2">
      <c r="A12" s="4">
        <f t="shared" si="2"/>
        <v>7</v>
      </c>
      <c r="B12" s="20">
        <f t="shared" si="3"/>
        <v>46239</v>
      </c>
      <c r="C12" s="4" t="s">
        <v>57</v>
      </c>
      <c r="D12" s="17" t="s">
        <v>13</v>
      </c>
      <c r="E12" s="4" t="s">
        <v>0</v>
      </c>
      <c r="F12" s="4" t="s">
        <v>1</v>
      </c>
      <c r="G12" s="17" t="s">
        <v>55</v>
      </c>
      <c r="H12" s="4" t="s">
        <v>54</v>
      </c>
      <c r="I12" s="4" t="s">
        <v>54</v>
      </c>
      <c r="J12" s="18">
        <f>30*4</f>
        <v>120</v>
      </c>
      <c r="K12" s="18">
        <f t="shared" ref="K12" si="4">+J12/4</f>
        <v>30</v>
      </c>
      <c r="L12" s="19">
        <v>0.14583333333333334</v>
      </c>
    </row>
    <row r="13" spans="1:12" x14ac:dyDescent="0.2">
      <c r="A13" s="4">
        <f t="shared" si="2"/>
        <v>8</v>
      </c>
      <c r="B13" s="20">
        <f t="shared" si="3"/>
        <v>46240</v>
      </c>
      <c r="C13" s="4" t="s">
        <v>58</v>
      </c>
      <c r="D13" s="4" t="s">
        <v>54</v>
      </c>
      <c r="E13" s="4" t="s">
        <v>78</v>
      </c>
      <c r="F13" s="4" t="s">
        <v>78</v>
      </c>
      <c r="G13" s="4" t="s">
        <v>78</v>
      </c>
      <c r="H13" s="17" t="s">
        <v>55</v>
      </c>
      <c r="I13" s="4" t="s">
        <v>1</v>
      </c>
      <c r="J13" s="21"/>
      <c r="K13" s="21">
        <f t="shared" si="1"/>
        <v>0</v>
      </c>
      <c r="L13" s="4"/>
    </row>
    <row r="14" spans="1:12" x14ac:dyDescent="0.2">
      <c r="A14" s="4">
        <f t="shared" si="2"/>
        <v>9</v>
      </c>
      <c r="B14" s="20">
        <f t="shared" si="3"/>
        <v>46241</v>
      </c>
      <c r="C14" s="4" t="s">
        <v>59</v>
      </c>
      <c r="D14" s="4" t="s">
        <v>1</v>
      </c>
      <c r="E14" s="4" t="s">
        <v>63</v>
      </c>
      <c r="F14" s="4" t="s">
        <v>63</v>
      </c>
      <c r="G14" s="4" t="s">
        <v>1</v>
      </c>
      <c r="H14" s="4" t="s">
        <v>1</v>
      </c>
      <c r="I14" s="4" t="s">
        <v>1</v>
      </c>
      <c r="J14" s="21"/>
      <c r="K14" s="21"/>
      <c r="L14" s="6"/>
    </row>
    <row r="15" spans="1:12" x14ac:dyDescent="0.2">
      <c r="A15" s="4">
        <f t="shared" si="2"/>
        <v>10</v>
      </c>
      <c r="B15" s="20">
        <f t="shared" si="3"/>
        <v>46242</v>
      </c>
      <c r="C15" s="4" t="s">
        <v>64</v>
      </c>
      <c r="D15" s="4" t="s">
        <v>1</v>
      </c>
      <c r="E15" s="4" t="s">
        <v>1</v>
      </c>
      <c r="F15" s="22" t="s">
        <v>11</v>
      </c>
      <c r="G15" s="22" t="s">
        <v>11</v>
      </c>
      <c r="H15" s="4" t="s">
        <v>3</v>
      </c>
      <c r="I15" s="4" t="s">
        <v>3</v>
      </c>
      <c r="J15" s="23">
        <f>+K15*4</f>
        <v>824.83999999999992</v>
      </c>
      <c r="K15" s="23">
        <f>+Voli!D16</f>
        <v>206.20999999999998</v>
      </c>
      <c r="L15" s="24">
        <v>0.10069444444444445</v>
      </c>
    </row>
    <row r="16" spans="1:12" x14ac:dyDescent="0.2">
      <c r="A16" s="4">
        <f t="shared" si="2"/>
        <v>11</v>
      </c>
      <c r="B16" s="20">
        <f t="shared" si="3"/>
        <v>46243</v>
      </c>
      <c r="C16" s="4" t="s">
        <v>72</v>
      </c>
      <c r="D16" s="4" t="s">
        <v>3</v>
      </c>
      <c r="E16" s="4" t="s">
        <v>3</v>
      </c>
      <c r="F16" s="4" t="s">
        <v>3</v>
      </c>
      <c r="G16" s="4" t="s">
        <v>3</v>
      </c>
      <c r="H16" s="4" t="s">
        <v>3</v>
      </c>
      <c r="I16" s="4" t="s">
        <v>3</v>
      </c>
      <c r="J16" s="5"/>
      <c r="K16" s="5">
        <f t="shared" si="1"/>
        <v>0</v>
      </c>
      <c r="L16" s="4"/>
    </row>
    <row r="17" spans="1:12" x14ac:dyDescent="0.2">
      <c r="A17" s="4">
        <f t="shared" si="2"/>
        <v>12</v>
      </c>
      <c r="B17" s="20">
        <f t="shared" si="3"/>
        <v>46244</v>
      </c>
      <c r="C17" s="4" t="s">
        <v>79</v>
      </c>
      <c r="D17" s="4" t="s">
        <v>3</v>
      </c>
      <c r="E17" s="4" t="s">
        <v>3</v>
      </c>
      <c r="F17" s="4" t="s">
        <v>3</v>
      </c>
      <c r="G17" s="4" t="s">
        <v>3</v>
      </c>
      <c r="H17" s="4" t="s">
        <v>3</v>
      </c>
      <c r="I17" s="4" t="s">
        <v>3</v>
      </c>
      <c r="J17" s="5"/>
      <c r="K17" s="5">
        <f t="shared" si="1"/>
        <v>0</v>
      </c>
      <c r="L17" s="4"/>
    </row>
    <row r="18" spans="1:12" x14ac:dyDescent="0.2">
      <c r="A18" s="4">
        <f t="shared" si="2"/>
        <v>13</v>
      </c>
      <c r="B18" s="20">
        <f t="shared" si="3"/>
        <v>46245</v>
      </c>
      <c r="C18" s="4" t="s">
        <v>73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3</v>
      </c>
      <c r="I18" s="4" t="s">
        <v>3</v>
      </c>
      <c r="J18" s="5"/>
      <c r="K18" s="5">
        <f t="shared" si="1"/>
        <v>0</v>
      </c>
      <c r="L18" s="4"/>
    </row>
    <row r="19" spans="1:12" x14ac:dyDescent="0.2">
      <c r="A19" s="4">
        <f t="shared" si="2"/>
        <v>14</v>
      </c>
      <c r="B19" s="20">
        <f t="shared" si="3"/>
        <v>46246</v>
      </c>
      <c r="C19" s="4" t="s">
        <v>72</v>
      </c>
      <c r="D19" s="4" t="s">
        <v>3</v>
      </c>
      <c r="E19" s="4" t="s">
        <v>3</v>
      </c>
      <c r="F19" s="4" t="s">
        <v>3</v>
      </c>
      <c r="G19" s="4" t="s">
        <v>3</v>
      </c>
      <c r="H19" s="4" t="s">
        <v>3</v>
      </c>
      <c r="I19" s="4" t="s">
        <v>3</v>
      </c>
      <c r="J19" s="5"/>
      <c r="K19" s="5"/>
      <c r="L19" s="6"/>
    </row>
    <row r="20" spans="1:12" x14ac:dyDescent="0.2">
      <c r="A20" s="4">
        <f t="shared" si="2"/>
        <v>15</v>
      </c>
      <c r="B20" s="20">
        <f t="shared" si="3"/>
        <v>46247</v>
      </c>
      <c r="C20" s="4" t="s">
        <v>74</v>
      </c>
      <c r="D20" s="4" t="s">
        <v>3</v>
      </c>
      <c r="E20" s="17" t="s">
        <v>13</v>
      </c>
      <c r="F20" s="17" t="s">
        <v>13</v>
      </c>
      <c r="G20" s="4" t="s">
        <v>2</v>
      </c>
      <c r="H20" s="4" t="s">
        <v>2</v>
      </c>
      <c r="I20" s="4" t="s">
        <v>2</v>
      </c>
      <c r="J20" s="18">
        <f>110.56*4</f>
        <v>442.24</v>
      </c>
      <c r="K20" s="18">
        <f t="shared" ref="K20" si="5">+J20/4</f>
        <v>110.56</v>
      </c>
      <c r="L20" s="19">
        <v>0.22916666666666666</v>
      </c>
    </row>
    <row r="21" spans="1:12" x14ac:dyDescent="0.2">
      <c r="A21" s="4">
        <f t="shared" si="2"/>
        <v>16</v>
      </c>
      <c r="B21" s="20">
        <f t="shared" si="3"/>
        <v>46248</v>
      </c>
      <c r="C21" s="4" t="s">
        <v>75</v>
      </c>
      <c r="D21" s="4" t="s">
        <v>2</v>
      </c>
      <c r="E21" s="4" t="s">
        <v>2</v>
      </c>
      <c r="F21" s="4" t="s">
        <v>2</v>
      </c>
      <c r="G21" s="4" t="s">
        <v>2</v>
      </c>
      <c r="H21" s="4" t="s">
        <v>2</v>
      </c>
      <c r="I21" s="4" t="s">
        <v>2</v>
      </c>
      <c r="J21" s="5"/>
      <c r="K21" s="5">
        <f t="shared" si="1"/>
        <v>0</v>
      </c>
      <c r="L21" s="4"/>
    </row>
    <row r="22" spans="1:12" x14ac:dyDescent="0.2">
      <c r="A22" s="4">
        <f t="shared" si="2"/>
        <v>17</v>
      </c>
      <c r="B22" s="20">
        <f t="shared" si="3"/>
        <v>46249</v>
      </c>
      <c r="C22" s="4" t="s">
        <v>76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2</v>
      </c>
      <c r="I22" s="4" t="s">
        <v>2</v>
      </c>
      <c r="J22" s="5"/>
      <c r="K22" s="5">
        <f t="shared" si="1"/>
        <v>0</v>
      </c>
      <c r="L22" s="4"/>
    </row>
    <row r="23" spans="1:12" x14ac:dyDescent="0.2">
      <c r="A23" s="4">
        <f t="shared" si="2"/>
        <v>18</v>
      </c>
      <c r="B23" s="20">
        <f t="shared" si="3"/>
        <v>46250</v>
      </c>
      <c r="C23" s="4" t="s">
        <v>75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  <c r="I23" s="4" t="s">
        <v>2</v>
      </c>
      <c r="J23" s="5"/>
      <c r="K23" s="5">
        <f t="shared" si="1"/>
        <v>0</v>
      </c>
      <c r="L23" s="4"/>
    </row>
    <row r="24" spans="1:12" x14ac:dyDescent="0.2">
      <c r="A24" s="4">
        <f t="shared" si="2"/>
        <v>19</v>
      </c>
      <c r="B24" s="20">
        <f t="shared" si="3"/>
        <v>46251</v>
      </c>
      <c r="C24" s="4" t="s">
        <v>77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  <c r="I24" s="22" t="s">
        <v>11</v>
      </c>
      <c r="J24" s="5"/>
      <c r="K24" s="5">
        <f t="shared" si="1"/>
        <v>0</v>
      </c>
      <c r="L24" s="4"/>
    </row>
    <row r="25" spans="1:12" x14ac:dyDescent="0.2">
      <c r="A25" s="4">
        <f t="shared" si="2"/>
        <v>20</v>
      </c>
      <c r="B25" s="20">
        <f t="shared" si="3"/>
        <v>46252</v>
      </c>
      <c r="C25" s="4" t="s">
        <v>20</v>
      </c>
      <c r="D25" s="22" t="s">
        <v>11</v>
      </c>
      <c r="E25" s="4" t="s">
        <v>10</v>
      </c>
      <c r="F25" s="4"/>
      <c r="G25" s="4"/>
      <c r="H25" s="4"/>
      <c r="I25" s="4"/>
      <c r="J25" s="23">
        <f>+K25*4</f>
        <v>1903.68</v>
      </c>
      <c r="K25" s="23">
        <f>+Voli!D7/2</f>
        <v>475.92</v>
      </c>
      <c r="L25" s="24">
        <f>+Voli!M1</f>
        <v>0.52430555555474712</v>
      </c>
    </row>
    <row r="26" spans="1:12" x14ac:dyDescent="0.2">
      <c r="K26" s="1">
        <f t="shared" si="1"/>
        <v>0</v>
      </c>
    </row>
    <row r="27" spans="1:12" x14ac:dyDescent="0.2">
      <c r="H27" s="2" t="s">
        <v>9</v>
      </c>
      <c r="I27" s="2" t="s">
        <v>21</v>
      </c>
    </row>
    <row r="28" spans="1:12" x14ac:dyDescent="0.2">
      <c r="H28">
        <f t="shared" ref="H28:H35" si="6">COUNTIF($I$6:$I$25,I28)</f>
        <v>1</v>
      </c>
      <c r="I28" t="s">
        <v>36</v>
      </c>
    </row>
    <row r="29" spans="1:12" x14ac:dyDescent="0.2">
      <c r="H29">
        <f t="shared" si="6"/>
        <v>4</v>
      </c>
      <c r="I29" t="s">
        <v>0</v>
      </c>
    </row>
    <row r="30" spans="1:12" x14ac:dyDescent="0.2">
      <c r="H30">
        <f t="shared" si="6"/>
        <v>1</v>
      </c>
      <c r="I30" t="s">
        <v>54</v>
      </c>
    </row>
    <row r="31" spans="1:12" x14ac:dyDescent="0.2">
      <c r="H31">
        <f t="shared" si="6"/>
        <v>2</v>
      </c>
      <c r="I31" t="s">
        <v>1</v>
      </c>
    </row>
    <row r="32" spans="1:12" x14ac:dyDescent="0.2">
      <c r="H32">
        <f t="shared" si="6"/>
        <v>0</v>
      </c>
      <c r="I32" t="s">
        <v>13</v>
      </c>
    </row>
    <row r="33" spans="8:9" x14ac:dyDescent="0.2">
      <c r="H33">
        <f t="shared" si="6"/>
        <v>5</v>
      </c>
      <c r="I33" t="s">
        <v>3</v>
      </c>
    </row>
    <row r="34" spans="8:9" x14ac:dyDescent="0.2">
      <c r="H34">
        <f t="shared" si="6"/>
        <v>4</v>
      </c>
      <c r="I34" t="s">
        <v>2</v>
      </c>
    </row>
    <row r="35" spans="8:9" x14ac:dyDescent="0.2">
      <c r="H35">
        <f t="shared" si="6"/>
        <v>2</v>
      </c>
      <c r="I35" t="s">
        <v>11</v>
      </c>
    </row>
    <row r="36" spans="8:9" x14ac:dyDescent="0.2">
      <c r="H36" s="7">
        <f>SUM(H28:H35)</f>
        <v>19</v>
      </c>
      <c r="I36" s="7" t="s">
        <v>22</v>
      </c>
    </row>
  </sheetData>
  <pageMargins left="0.23622047244094491" right="0.23622047244094491" top="0.74803149606299213" bottom="0.74803149606299213" header="0.31496062992125984" footer="0.31496062992125984"/>
  <pageSetup paperSize="9" scale="94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C88E-0B59-4A12-8E51-726BE2CA2AEC}">
  <dimension ref="A1:M16"/>
  <sheetViews>
    <sheetView showGridLines="0" workbookViewId="0">
      <selection activeCell="C16" sqref="C16"/>
    </sheetView>
  </sheetViews>
  <sheetFormatPr defaultColWidth="9.125" defaultRowHeight="11.4" x14ac:dyDescent="0.2"/>
  <cols>
    <col min="1" max="1" width="9.25" style="9" bestFit="1" customWidth="1"/>
    <col min="2" max="2" width="45.375" style="14" bestFit="1" customWidth="1"/>
    <col min="3" max="3" width="8.75" style="9" bestFit="1" customWidth="1"/>
    <col min="4" max="4" width="15.875" style="9" bestFit="1" customWidth="1"/>
    <col min="5" max="6" width="7.875" style="9" bestFit="1" customWidth="1"/>
    <col min="7" max="7" width="3.625" style="9" customWidth="1"/>
    <col min="8" max="8" width="9.25" style="9" bestFit="1" customWidth="1"/>
    <col min="9" max="9" width="47.625" style="14" bestFit="1" customWidth="1"/>
    <col min="10" max="10" width="6" style="9" bestFit="1" customWidth="1"/>
    <col min="11" max="11" width="15.75" style="9" bestFit="1" customWidth="1"/>
    <col min="12" max="13" width="7.875" style="9" bestFit="1" customWidth="1"/>
    <col min="14" max="16384" width="9.125" style="9"/>
  </cols>
  <sheetData>
    <row r="1" spans="1:13" x14ac:dyDescent="0.2">
      <c r="E1" s="12">
        <f>SUM(E4:E5)</f>
        <v>0.25</v>
      </c>
      <c r="F1" s="12">
        <f>SUM(F4:F5)</f>
        <v>0.44444444444525288</v>
      </c>
      <c r="L1" s="12">
        <f>SUM(L4:L5)</f>
        <v>0.25</v>
      </c>
      <c r="M1" s="12">
        <f>SUM(M4:M5)</f>
        <v>0.52430555555474712</v>
      </c>
    </row>
    <row r="3" spans="1:13" x14ac:dyDescent="0.2">
      <c r="A3" s="8" t="s">
        <v>31</v>
      </c>
      <c r="B3" s="13" t="s">
        <v>27</v>
      </c>
      <c r="C3" s="8" t="s">
        <v>11</v>
      </c>
      <c r="D3" s="8" t="s">
        <v>25</v>
      </c>
      <c r="E3" s="8" t="s">
        <v>24</v>
      </c>
      <c r="F3" s="8" t="s">
        <v>18</v>
      </c>
      <c r="H3" s="8" t="s">
        <v>27</v>
      </c>
      <c r="I3" s="13" t="s">
        <v>26</v>
      </c>
      <c r="J3" s="8" t="s">
        <v>11</v>
      </c>
      <c r="K3" s="8" t="s">
        <v>25</v>
      </c>
      <c r="L3" s="8" t="s">
        <v>24</v>
      </c>
      <c r="M3" s="8" t="s">
        <v>18</v>
      </c>
    </row>
    <row r="4" spans="1:13" x14ac:dyDescent="0.2">
      <c r="A4" s="9" t="s">
        <v>23</v>
      </c>
      <c r="B4" s="14" t="s">
        <v>30</v>
      </c>
      <c r="C4" s="25" t="s">
        <v>33</v>
      </c>
      <c r="D4" s="10">
        <v>45868.541666666664</v>
      </c>
      <c r="E4" s="10"/>
      <c r="H4" s="9" t="s">
        <v>28</v>
      </c>
      <c r="I4" s="15" t="s">
        <v>70</v>
      </c>
      <c r="J4" s="9" t="s">
        <v>29</v>
      </c>
      <c r="K4" s="10">
        <v>46252.0625</v>
      </c>
      <c r="L4" s="10"/>
    </row>
    <row r="5" spans="1:13" x14ac:dyDescent="0.2">
      <c r="A5" s="9" t="s">
        <v>34</v>
      </c>
      <c r="B5" s="15" t="s">
        <v>71</v>
      </c>
      <c r="C5" s="25"/>
      <c r="D5" s="10">
        <v>45869.236111111109</v>
      </c>
      <c r="E5" s="11">
        <v>0.25</v>
      </c>
      <c r="F5" s="12">
        <f>+D5-D4-E5</f>
        <v>0.44444444444525288</v>
      </c>
      <c r="H5" s="9" t="s">
        <v>23</v>
      </c>
      <c r="I5" s="15" t="s">
        <v>30</v>
      </c>
      <c r="J5" s="9" t="s">
        <v>29</v>
      </c>
      <c r="K5" s="10">
        <v>46252.336805555555</v>
      </c>
      <c r="L5" s="11">
        <v>0.25</v>
      </c>
      <c r="M5" s="12">
        <f>+K5-K4+L5</f>
        <v>0.52430555555474712</v>
      </c>
    </row>
    <row r="7" spans="1:13" x14ac:dyDescent="0.2">
      <c r="B7" s="9" t="s">
        <v>32</v>
      </c>
      <c r="C7" s="16">
        <v>3807.36</v>
      </c>
      <c r="D7" s="16">
        <f>+C7/4</f>
        <v>951.84</v>
      </c>
    </row>
    <row r="10" spans="1:13" x14ac:dyDescent="0.2">
      <c r="E10" s="12">
        <f>SUM(E13:E14)</f>
        <v>0</v>
      </c>
      <c r="F10" s="12">
        <f>SUM(F13:F14)</f>
        <v>0.10069444444525288</v>
      </c>
      <c r="H10" s="14"/>
      <c r="J10" s="14"/>
      <c r="K10" s="14"/>
      <c r="L10" s="14"/>
      <c r="M10" s="14"/>
    </row>
    <row r="11" spans="1:13" x14ac:dyDescent="0.2">
      <c r="H11" s="14"/>
      <c r="J11" s="14"/>
      <c r="K11" s="14"/>
      <c r="L11" s="14"/>
      <c r="M11" s="14"/>
    </row>
    <row r="12" spans="1:13" x14ac:dyDescent="0.2">
      <c r="A12" s="8" t="s">
        <v>31</v>
      </c>
      <c r="B12" s="13" t="s">
        <v>27</v>
      </c>
      <c r="C12" s="8" t="s">
        <v>11</v>
      </c>
      <c r="D12" s="8" t="s">
        <v>25</v>
      </c>
      <c r="E12" s="8" t="s">
        <v>24</v>
      </c>
      <c r="F12" s="8" t="s">
        <v>18</v>
      </c>
      <c r="H12" s="14"/>
      <c r="J12" s="14"/>
      <c r="K12" s="14"/>
      <c r="L12" s="14"/>
      <c r="M12" s="14"/>
    </row>
    <row r="13" spans="1:13" x14ac:dyDescent="0.2">
      <c r="A13" s="9" t="s">
        <v>65</v>
      </c>
      <c r="B13" s="14" t="s">
        <v>66</v>
      </c>
      <c r="C13" s="25" t="s">
        <v>69</v>
      </c>
      <c r="D13" s="10">
        <v>46242.71875</v>
      </c>
      <c r="E13" s="11"/>
      <c r="H13" s="14"/>
      <c r="J13" s="14"/>
      <c r="K13" s="14"/>
      <c r="L13" s="14"/>
      <c r="M13" s="14"/>
    </row>
    <row r="14" spans="1:13" x14ac:dyDescent="0.2">
      <c r="A14" s="9" t="s">
        <v>68</v>
      </c>
      <c r="B14" s="15" t="s">
        <v>67</v>
      </c>
      <c r="C14" s="25"/>
      <c r="D14" s="10">
        <v>46242.819444444445</v>
      </c>
      <c r="E14" s="11">
        <v>0</v>
      </c>
      <c r="F14" s="12">
        <f>+D14-D13-E14</f>
        <v>0.10069444444525288</v>
      </c>
      <c r="H14" s="14"/>
      <c r="J14" s="14"/>
      <c r="K14" s="14"/>
      <c r="L14" s="14"/>
      <c r="M14" s="14"/>
    </row>
    <row r="16" spans="1:13" x14ac:dyDescent="0.2">
      <c r="B16" s="9" t="s">
        <v>32</v>
      </c>
      <c r="C16" s="16">
        <f>+D16*4</f>
        <v>824.83999999999992</v>
      </c>
      <c r="D16" s="16">
        <f>1031.05/5</f>
        <v>206.20999999999998</v>
      </c>
    </row>
  </sheetData>
  <mergeCells count="2">
    <mergeCell ref="C4:C5"/>
    <mergeCell ref="C13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7287-AAAF-4BAA-BD4A-2F7F53F4FF3E}">
  <dimension ref="A1:D9"/>
  <sheetViews>
    <sheetView workbookViewId="0">
      <selection activeCell="A4" sqref="A4"/>
    </sheetView>
  </sheetViews>
  <sheetFormatPr defaultRowHeight="11.4" x14ac:dyDescent="0.2"/>
  <cols>
    <col min="1" max="1" width="42.125" bestFit="1" customWidth="1"/>
    <col min="2" max="2" width="71.375" bestFit="1" customWidth="1"/>
    <col min="3" max="3" width="20.125" bestFit="1" customWidth="1"/>
    <col min="4" max="4" width="15.75" bestFit="1" customWidth="1"/>
  </cols>
  <sheetData>
    <row r="1" spans="1:4" x14ac:dyDescent="0.2">
      <c r="A1" t="s">
        <v>36</v>
      </c>
    </row>
    <row r="3" spans="1:4" x14ac:dyDescent="0.2">
      <c r="A3" t="s">
        <v>37</v>
      </c>
      <c r="B3" t="s">
        <v>48</v>
      </c>
      <c r="C3" t="s">
        <v>38</v>
      </c>
      <c r="D3" t="s">
        <v>41</v>
      </c>
    </row>
    <row r="4" spans="1:4" x14ac:dyDescent="0.2">
      <c r="A4" t="s">
        <v>52</v>
      </c>
      <c r="B4" t="s">
        <v>45</v>
      </c>
      <c r="C4" t="s">
        <v>39</v>
      </c>
      <c r="D4" t="s">
        <v>42</v>
      </c>
    </row>
    <row r="5" spans="1:4" x14ac:dyDescent="0.2">
      <c r="B5" t="s">
        <v>44</v>
      </c>
      <c r="C5" t="s">
        <v>49</v>
      </c>
    </row>
    <row r="6" spans="1:4" x14ac:dyDescent="0.2">
      <c r="B6" t="s">
        <v>40</v>
      </c>
      <c r="C6" t="s">
        <v>40</v>
      </c>
    </row>
    <row r="7" spans="1:4" x14ac:dyDescent="0.2">
      <c r="B7" t="s">
        <v>43</v>
      </c>
    </row>
    <row r="8" spans="1:4" x14ac:dyDescent="0.2">
      <c r="B8" t="s">
        <v>47</v>
      </c>
      <c r="C8" t="s">
        <v>46</v>
      </c>
    </row>
    <row r="9" spans="1:4" x14ac:dyDescent="0.2">
      <c r="B9" t="s">
        <v>51</v>
      </c>
      <c r="C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Tour China</vt:lpstr>
      <vt:lpstr>Voli</vt:lpstr>
      <vt:lpstr>Foglio1</vt:lpstr>
      <vt:lpstr>'Tour China'!Area_stampa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Moris Busata</dc:creator>
  <cp:lastModifiedBy>Paolo Moris Busata</cp:lastModifiedBy>
  <cp:lastPrinted>2026-04-12T11:23:16Z</cp:lastPrinted>
  <dcterms:created xsi:type="dcterms:W3CDTF">2025-11-07T13:09:27Z</dcterms:created>
  <dcterms:modified xsi:type="dcterms:W3CDTF">2026-05-31T19:28:50Z</dcterms:modified>
</cp:coreProperties>
</file>